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440" yWindow="3040" windowWidth="23360" windowHeight="1504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'Sheet1'!$A$4:$K$4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1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1"/>
    <xf numFmtId="0" fontId="0" fillId="0" borderId="0" pivotButton="0" quotePrefix="0" xfId="0"/>
    <xf numFmtId="164" fontId="0" fillId="0" borderId="2" pivotButton="0" quotePrefix="0" xfId="0"/>
    <xf numFmtId="0" fontId="3" fillId="0" borderId="4" pivotButton="0" quotePrefix="0" xfId="0"/>
    <xf numFmtId="0" fontId="0" fillId="0" borderId="4" pivotButton="0" quotePrefix="0" xfId="0"/>
    <xf numFmtId="0" fontId="2" fillId="0" borderId="4" pivotButton="0" quotePrefix="0" xfId="1"/>
    <xf numFmtId="164" fontId="0" fillId="0" borderId="4" pivotButton="0" quotePrefix="0" xfId="0"/>
    <xf numFmtId="164" fontId="0" fillId="0" borderId="5" pivotButton="0" quotePrefix="0" xfId="0"/>
    <xf numFmtId="164" fontId="3" fillId="0" borderId="1" pivotButton="0" quotePrefix="0" xfId="0"/>
    <xf numFmtId="164" fontId="3" fillId="0" borderId="3" pivotButton="0" quotePrefix="0" xfId="0"/>
    <xf numFmtId="0" fontId="0" fillId="0" borderId="1" pivotButton="0" quotePrefix="0" xfId="0"/>
    <xf numFmtId="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m/dp/B0BVH43P9L?ref=cm_sw_r_cso_cp_apan_dp_AVSQJ4KQB05QJJ9VG0XK&amp;ref_=cm_sw_r_cso_cp_apan_dp_AVSQJ4KQB05QJJ9VG0XK&amp;social_share=cm_sw_r_cso_cp_apan_dp_AVSQJ4KQB05QJJ9VG0XK&amp;titleSource=true" TargetMode="External" Id="rId1" /><Relationship Type="http://schemas.openxmlformats.org/officeDocument/2006/relationships/hyperlink" Target="https://www.amazon.com/DROK-Multimeter-6-5-100V-Backlight-Measuring/dp/B017FSED9I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tabSelected="1" topLeftCell="B3" workbookViewId="0">
      <selection activeCell="I9" sqref="I9"/>
    </sheetView>
  </sheetViews>
  <sheetFormatPr baseColWidth="10" defaultColWidth="8.83203125" defaultRowHeight="15"/>
  <cols>
    <col width="37.6640625" customWidth="1" style="16" min="1" max="1"/>
    <col width="12.6640625" customWidth="1" style="16" min="2" max="2"/>
    <col width="26.6640625" customWidth="1" style="16" min="3" max="3"/>
    <col width="13.33203125" customWidth="1" style="16" min="4" max="4"/>
    <col width="40.6640625" customWidth="1" style="16" min="5" max="5"/>
    <col width="12.6640625" customWidth="1" style="16" min="6" max="8"/>
    <col width="12.6640625" customWidth="1" style="1" min="9" max="10"/>
    <col width="25.6640625" customWidth="1" style="16" min="11" max="11"/>
  </cols>
  <sheetData>
    <row r="1" ht="30" customFormat="1" customHeight="1" s="2">
      <c r="A1" s="2" t="inlineStr">
        <is>
          <t>The cost information contained in this document is of a budgetary and planning nature and is intended for informational purposes only.  It does not constitute a commitment on the part of Rice University or Lamont-Doherty Earth Observatory.</t>
        </is>
      </c>
    </row>
    <row r="2" ht="30" customFormat="1" customHeight="1" s="2">
      <c r="A2" s="2" t="inlineStr">
        <is>
          <t>Authors: Andrew Hoffman (Rice University, Lamont-Doherty Earth Observatory), Racheet Matai (Lamont Doherty Earth Observatory)</t>
        </is>
      </c>
      <c r="J2" s="2" t="inlineStr">
        <is>
          <t>Total</t>
        </is>
      </c>
      <c r="K2" s="3">
        <f>SUM(J5:J123)</f>
        <v/>
      </c>
    </row>
    <row r="3" ht="30" customFormat="1" customHeight="1" s="2">
      <c r="A3" s="2" t="inlineStr">
        <is>
          <t>© 2022 University of Washington. Quaternary Research Center sponsorship acknowledged</t>
        </is>
      </c>
    </row>
    <row r="4" ht="60" customFormat="1" customHeight="1" s="4">
      <c r="A4" s="4" t="inlineStr">
        <is>
          <t>Part Name</t>
        </is>
      </c>
      <c r="B4" s="4" t="inlineStr">
        <is>
          <t>Project Ref Code</t>
        </is>
      </c>
      <c r="C4" s="4" t="inlineStr">
        <is>
          <t>Model/Config</t>
        </is>
      </c>
      <c r="D4" s="4" t="inlineStr">
        <is>
          <t>Site</t>
        </is>
      </c>
      <c r="E4" s="4" t="inlineStr">
        <is>
          <t>Link</t>
        </is>
      </c>
      <c r="F4" s="4" t="inlineStr">
        <is>
          <t>Sold in Packs of</t>
        </is>
      </c>
      <c r="G4" s="4" t="inlineStr">
        <is>
          <t>Total Used in Project</t>
        </is>
      </c>
      <c r="H4" s="4" t="inlineStr">
        <is>
          <t>Quantity to Buy</t>
        </is>
      </c>
      <c r="I4" s="4" t="inlineStr">
        <is>
          <t>Price Each</t>
        </is>
      </c>
      <c r="J4" s="4" t="inlineStr">
        <is>
          <t>Price Total</t>
        </is>
      </c>
      <c r="K4" s="4" t="inlineStr">
        <is>
          <t>Used in Sections</t>
        </is>
      </c>
    </row>
    <row r="5">
      <c r="A5" s="8" t="inlineStr">
        <is>
          <t>Mechanical system</t>
        </is>
      </c>
      <c r="B5" s="9" t="n"/>
      <c r="C5" s="9" t="n"/>
      <c r="D5" s="9" t="n"/>
      <c r="E5" s="10" t="n"/>
      <c r="F5" s="9" t="n"/>
      <c r="G5" s="9" t="n"/>
      <c r="H5" s="9" t="n"/>
      <c r="I5" s="11" t="n"/>
      <c r="J5" s="12" t="n"/>
      <c r="K5" s="9" t="n"/>
    </row>
    <row r="6">
      <c r="A6" t="inlineStr">
        <is>
          <t>MTT drive systems</t>
        </is>
      </c>
      <c r="B6" t="inlineStr">
        <is>
          <t>M1</t>
        </is>
      </c>
      <c r="C6" t="inlineStr">
        <is>
          <t>MTT 154</t>
        </is>
      </c>
      <c r="D6" t="inlineStr">
        <is>
          <t>MTT</t>
        </is>
      </c>
      <c r="E6" s="5" t="inlineStr">
        <is>
          <t>https://mtt136.com/</t>
        </is>
      </c>
      <c r="F6" t="n">
        <v>1</v>
      </c>
      <c r="G6" t="n">
        <v>2</v>
      </c>
      <c r="H6" t="n">
        <v>2</v>
      </c>
      <c r="I6" s="1" t="n">
        <v>43495</v>
      </c>
      <c r="J6" s="7">
        <f>I6*H6</f>
        <v/>
      </c>
      <c r="K6" t="inlineStr">
        <is>
          <t>Mechanical Build</t>
        </is>
      </c>
    </row>
    <row r="7">
      <c r="A7" t="inlineStr">
        <is>
          <t>MTT articulated hinge system</t>
        </is>
      </c>
      <c r="B7" t="inlineStr">
        <is>
          <t>M2</t>
        </is>
      </c>
      <c r="C7" t="inlineStr">
        <is>
          <t>MTT 154</t>
        </is>
      </c>
      <c r="D7" t="inlineStr">
        <is>
          <t>MTT</t>
        </is>
      </c>
      <c r="E7" s="5" t="inlineStr">
        <is>
          <t>https://mtt136.com/</t>
        </is>
      </c>
      <c r="F7" t="n">
        <v>1</v>
      </c>
      <c r="G7" t="n">
        <v>2</v>
      </c>
      <c r="H7" t="n">
        <v>2</v>
      </c>
      <c r="I7" s="1" t="n">
        <v>2995</v>
      </c>
      <c r="J7" s="7">
        <f>I7*H7</f>
        <v/>
      </c>
      <c r="K7" t="inlineStr">
        <is>
          <t>Mechanical Build</t>
        </is>
      </c>
    </row>
    <row r="8">
      <c r="A8" t="inlineStr">
        <is>
          <t>MTT instrument sled</t>
        </is>
      </c>
      <c r="B8" t="inlineStr">
        <is>
          <t>M3</t>
        </is>
      </c>
      <c r="C8" t="inlineStr">
        <is>
          <t>MTT 154</t>
        </is>
      </c>
      <c r="D8" t="inlineStr">
        <is>
          <t>MTT</t>
        </is>
      </c>
      <c r="E8" s="5" t="inlineStr">
        <is>
          <t>https://mtt136.com/</t>
        </is>
      </c>
      <c r="F8" t="n">
        <v>1</v>
      </c>
      <c r="G8" t="n">
        <v>2</v>
      </c>
      <c r="H8" t="n">
        <v>2</v>
      </c>
      <c r="I8" s="1" t="n">
        <v>3295</v>
      </c>
      <c r="J8" s="7">
        <f>I8*H8</f>
        <v/>
      </c>
      <c r="K8" t="inlineStr">
        <is>
          <t>Mechanical Build</t>
        </is>
      </c>
    </row>
    <row r="9">
      <c r="A9" t="inlineStr">
        <is>
          <t>Coupling equipment for snake mode</t>
        </is>
      </c>
      <c r="B9" t="inlineStr">
        <is>
          <t>M4</t>
        </is>
      </c>
      <c r="C9" t="inlineStr">
        <is>
          <t>MTT 154</t>
        </is>
      </c>
      <c r="D9" t="inlineStr">
        <is>
          <t>MTT</t>
        </is>
      </c>
      <c r="E9" s="5" t="inlineStr">
        <is>
          <t>https://mtt136.com/</t>
        </is>
      </c>
      <c r="F9" t="n">
        <v>1</v>
      </c>
      <c r="G9" t="n">
        <v>1</v>
      </c>
      <c r="H9" t="n">
        <v>1</v>
      </c>
      <c r="J9" s="7" t="n"/>
      <c r="K9" t="inlineStr">
        <is>
          <t>Mechanical Build</t>
        </is>
      </c>
    </row>
    <row r="10">
      <c r="A10" t="inlineStr">
        <is>
          <t>Coupling equipment for skid-steer mode</t>
        </is>
      </c>
      <c r="B10" t="inlineStr">
        <is>
          <t>M5</t>
        </is>
      </c>
      <c r="C10" t="inlineStr">
        <is>
          <t>MTT 154</t>
        </is>
      </c>
      <c r="D10" t="inlineStr">
        <is>
          <t>MTT</t>
        </is>
      </c>
      <c r="E10" s="5" t="inlineStr">
        <is>
          <t>https://mtt136.com/</t>
        </is>
      </c>
      <c r="F10" t="n">
        <v>1</v>
      </c>
      <c r="G10" t="n">
        <v>1</v>
      </c>
      <c r="H10" t="n">
        <v>1</v>
      </c>
      <c r="J10" s="7" t="n"/>
      <c r="K10" t="inlineStr">
        <is>
          <t>Mechanical Build</t>
        </is>
      </c>
    </row>
    <row r="11">
      <c r="A11" s="8" t="inlineStr">
        <is>
          <t>Electronical system</t>
        </is>
      </c>
      <c r="B11" s="9" t="n"/>
      <c r="C11" s="9" t="n"/>
      <c r="D11" s="9" t="n"/>
      <c r="E11" s="10" t="n"/>
      <c r="F11" s="9" t="n"/>
      <c r="G11" s="9" t="n"/>
      <c r="H11" s="9" t="n"/>
      <c r="I11" s="9" t="n"/>
      <c r="J11" s="12" t="n"/>
      <c r="K11" s="9" t="n"/>
    </row>
    <row r="12">
      <c r="A12" t="inlineStr">
        <is>
          <t>joystick</t>
        </is>
      </c>
      <c r="B12" t="inlineStr">
        <is>
          <t>E1</t>
        </is>
      </c>
      <c r="C12" t="inlineStr">
        <is>
          <t>MTT 154</t>
        </is>
      </c>
      <c r="D12" t="inlineStr">
        <is>
          <t>MTT</t>
        </is>
      </c>
      <c r="E12" s="5" t="inlineStr">
        <is>
          <t>https://mtt136.com/</t>
        </is>
      </c>
      <c r="F12" t="n">
        <v>1</v>
      </c>
      <c r="G12" t="n">
        <v>1</v>
      </c>
      <c r="H12" t="n">
        <v>1</v>
      </c>
      <c r="J12" s="7" t="n"/>
      <c r="K12" t="inlineStr">
        <is>
          <t>Electrical Build</t>
        </is>
      </c>
    </row>
    <row r="13">
      <c r="A13" t="inlineStr">
        <is>
          <t>Battery</t>
        </is>
      </c>
      <c r="B13" t="inlineStr">
        <is>
          <t>E2</t>
        </is>
      </c>
      <c r="C13" t="inlineStr">
        <is>
          <t>MTT 154</t>
        </is>
      </c>
      <c r="D13" t="inlineStr">
        <is>
          <t>MTT</t>
        </is>
      </c>
      <c r="E13" s="5" t="inlineStr">
        <is>
          <t>https://mtt136.com/</t>
        </is>
      </c>
      <c r="F13" t="n">
        <v>1</v>
      </c>
      <c r="G13" t="n">
        <v>2</v>
      </c>
      <c r="H13" t="n">
        <v>6</v>
      </c>
      <c r="I13" s="1" t="n">
        <v>4695</v>
      </c>
      <c r="J13" s="7">
        <f>I13*H13</f>
        <v/>
      </c>
      <c r="K13" t="inlineStr">
        <is>
          <t>Electrical Build</t>
        </is>
      </c>
    </row>
    <row r="14">
      <c r="A14" t="inlineStr">
        <is>
          <t>Jetson Orin Nano Developer Kit</t>
        </is>
      </c>
      <c r="B14" t="inlineStr">
        <is>
          <t>E3</t>
        </is>
      </c>
      <c r="C14" t="inlineStr">
        <is>
          <t>Jetson Orin Nano 4GB Dev Kit</t>
        </is>
      </c>
      <c r="D14" t="inlineStr">
        <is>
          <t>NVIDIA</t>
        </is>
      </c>
      <c r="E14" s="5" t="inlineStr">
        <is>
          <t>https://www.sparkfun.com/nvidia-jetson-orin-nano-developer-kit.html?gad_source=1&amp;gad_campaignid=17479024030&amp;gbraid=0AAAAADsj4ESZo4z6J-lZi4oH-Gbee1tDp&amp;gclid=CjwKCAjwpOfHBhAxEiwAm1SwEnDoAGNxGVBrMfDz3SxEgmrdc__G0zASww3opdL0DVLWkP3HYTavCRoCUl0QAvD_BwE</t>
        </is>
      </c>
      <c r="F14" t="n">
        <v>1</v>
      </c>
      <c r="G14" t="n">
        <v>2</v>
      </c>
      <c r="H14" t="n">
        <v>2</v>
      </c>
      <c r="I14" s="1" t="n">
        <v>249</v>
      </c>
      <c r="J14" s="7">
        <f>I14*H14</f>
        <v/>
      </c>
      <c r="K14" t="inlineStr">
        <is>
          <t>Electrical Build</t>
        </is>
      </c>
    </row>
    <row r="15">
      <c r="A15" t="inlineStr">
        <is>
          <t>CAN BUS module</t>
        </is>
      </c>
      <c r="B15" t="inlineStr">
        <is>
          <t>E4</t>
        </is>
      </c>
      <c r="C15" t="inlineStr">
        <is>
          <t>WWZMDiB</t>
        </is>
      </c>
      <c r="D15" t="inlineStr">
        <is>
          <t>amazon</t>
        </is>
      </c>
      <c r="E15" s="5" t="inlineStr">
        <is>
          <t>https://www.amazon.com/dp/B0BVH43P9L?ref=cm_sw_r_cso_cp_apan_dp_AVSQJ4KQB05QJJ9VG0XK&amp;ref_=cm_sw_r_cso_cp_apan_dp_AVSQJ4KQB05QJJ9VG0XK&amp;social_share=cm_sw_r_cso_cp_apan_dp_AVSQJ4KQB05QJJ9VG0XK&amp;titleSource=true</t>
        </is>
      </c>
      <c r="F15" t="n">
        <v>1</v>
      </c>
      <c r="G15" t="n">
        <v>1</v>
      </c>
      <c r="H15" t="n">
        <v>2</v>
      </c>
      <c r="J15" s="7" t="n"/>
      <c r="K15" t="inlineStr">
        <is>
          <t>Electrical Build</t>
        </is>
      </c>
    </row>
    <row r="16">
      <c r="A16" t="inlineStr">
        <is>
          <t>Deutsch DT 6-pin connectors</t>
        </is>
      </c>
      <c r="B16" t="inlineStr">
        <is>
          <t>E5</t>
        </is>
      </c>
      <c r="C16" t="inlineStr">
        <is>
          <t>Deutusacc</t>
        </is>
      </c>
      <c r="D16" t="inlineStr">
        <is>
          <t>amazon</t>
        </is>
      </c>
      <c r="E16" s="5" t="inlineStr">
        <is>
          <t>https://www.amazon.com/dp/B09V7VZX47?ref=cm_sw_r_cso_cp_apan_dp_RDND0SMWS70R33E1QHFM&amp;ref_=cm_sw_r_cso_cp_apan_dp_RDND0SMWS70R33E1QHFM&amp;social_share=cm_sw_r_cso_cp_apan_dp_RDND0SMWS70R33E1QHFM&amp;titleSource=true&amp;th=1</t>
        </is>
      </c>
      <c r="F16" t="n">
        <v>6</v>
      </c>
      <c r="G16" t="n">
        <v>2</v>
      </c>
      <c r="H16" t="n">
        <v>1</v>
      </c>
      <c r="J16" s="7" t="n"/>
      <c r="K16" t="inlineStr">
        <is>
          <t>Electrical Build</t>
        </is>
      </c>
    </row>
    <row r="17">
      <c r="A17" t="inlineStr">
        <is>
          <t>DC 10V-60V step down to 5V 5A</t>
        </is>
      </c>
      <c r="B17" t="inlineStr">
        <is>
          <t>E6</t>
        </is>
      </c>
      <c r="C17" t="inlineStr">
        <is>
          <t>ybbott</t>
        </is>
      </c>
      <c r="D17" t="inlineStr">
        <is>
          <t>amazon</t>
        </is>
      </c>
      <c r="E17" s="5" t="inlineStr">
        <is>
          <t>https://www.amazon.com/dp/B0CZDMJNVQ?ref=cm_sw_r_cso_cp_apan_dp_EZC62DH6YR9YAT762RDW&amp;ref_=cm_sw_r_cso_cp_apan_dp_EZC62DH6YR9YAT762RDW&amp;social_share=cm_sw_r_cso_cp_apan_dp_EZC62DH6YR9YAT762RDW&amp;titleSource=true&amp;th=1</t>
        </is>
      </c>
      <c r="F17" t="n">
        <v>1</v>
      </c>
      <c r="G17" t="n">
        <v>1</v>
      </c>
      <c r="H17" t="n">
        <v>2</v>
      </c>
      <c r="I17" s="1" t="n">
        <v>18.99</v>
      </c>
      <c r="J17" s="7" t="n"/>
      <c r="K17" t="inlineStr">
        <is>
          <t>Electrical Build</t>
        </is>
      </c>
    </row>
    <row r="18">
      <c r="A18" t="inlineStr">
        <is>
          <t>Motor fuse relay switch power with harness</t>
        </is>
      </c>
      <c r="B18" t="inlineStr">
        <is>
          <t>E7</t>
        </is>
      </c>
      <c r="C18" t="inlineStr">
        <is>
          <t>uxcell</t>
        </is>
      </c>
      <c r="D18" t="inlineStr">
        <is>
          <t>amazon</t>
        </is>
      </c>
      <c r="E18" s="5" t="inlineStr">
        <is>
          <t>https://www.amazon.com/dp/B07QRPFT96?ref=cm_sw_r_cso_cp_apan_dp_68QJJMF2A6TMFT4KS7R3&amp;ref_=cm_sw_r_cso_cp_apan_dp_68QJJMF2A6TMFT4KS7R3&amp;social_share=cm_sw_r_cso_cp_apan_dp_68QJJMF2A6TMFT4KS7R3&amp;titleSource=true&amp;th=1</t>
        </is>
      </c>
      <c r="F18" t="n">
        <v>3</v>
      </c>
      <c r="G18" t="n">
        <v>2</v>
      </c>
      <c r="H18" t="n">
        <v>1</v>
      </c>
      <c r="I18" s="1" t="n">
        <v>13.49</v>
      </c>
      <c r="J18" s="7" t="n"/>
      <c r="K18" t="inlineStr">
        <is>
          <t>Electrical Build</t>
        </is>
      </c>
    </row>
    <row r="19">
      <c r="A19" t="inlineStr">
        <is>
          <t>Open Log Artemis</t>
        </is>
      </c>
      <c r="B19" t="inlineStr">
        <is>
          <t>E8</t>
        </is>
      </c>
      <c r="C19" t="inlineStr">
        <is>
          <t>sparkfun</t>
        </is>
      </c>
      <c r="D19" t="inlineStr">
        <is>
          <t>sparfun</t>
        </is>
      </c>
      <c r="E19" s="5" t="inlineStr">
        <is>
          <t>CjwKCAjwpOfHBhAxEiwAm1SwEgGs8VFxhSpFGDrF6AeHjYDrzAfPAl0BzaCyyi5uLWIJA0sdUTnuBRoCKWYQAvD_BwE</t>
        </is>
      </c>
      <c r="F19" t="n">
        <v>1</v>
      </c>
      <c r="G19" t="n">
        <v>2</v>
      </c>
      <c r="H19" t="n">
        <v>2</v>
      </c>
      <c r="I19" s="1" t="n">
        <v>59.95</v>
      </c>
      <c r="J19" s="7">
        <f>H19*I19</f>
        <v/>
      </c>
      <c r="K19" t="inlineStr">
        <is>
          <t>Electrical Build</t>
        </is>
      </c>
    </row>
    <row r="20">
      <c r="A20" t="inlineStr">
        <is>
          <t>wire braid</t>
        </is>
      </c>
      <c r="B20" t="inlineStr">
        <is>
          <t>E9</t>
        </is>
      </c>
      <c r="C20" t="inlineStr">
        <is>
          <t>digikey</t>
        </is>
      </c>
      <c r="D20" t="inlineStr">
        <is>
          <t>amazon</t>
        </is>
      </c>
      <c r="E20" s="5" t="inlineStr">
        <is>
          <t>https://www.amazon.com/PET-Expandable-Braided-Sleeving-10ft/dp/B00ZATM676?th=1</t>
        </is>
      </c>
      <c r="F20" t="n">
        <v>1</v>
      </c>
      <c r="G20" t="n">
        <v>1</v>
      </c>
      <c r="H20" t="n">
        <v>1</v>
      </c>
      <c r="J20" s="7" t="n"/>
      <c r="K20" t="inlineStr">
        <is>
          <t>Electrical Build</t>
        </is>
      </c>
    </row>
    <row r="21">
      <c r="A21" t="inlineStr">
        <is>
          <t>wire 16 gauge black</t>
        </is>
      </c>
      <c r="B21" t="inlineStr">
        <is>
          <t>E10</t>
        </is>
      </c>
      <c r="C21" t="inlineStr">
        <is>
          <t>digikey</t>
        </is>
      </c>
      <c r="D21" t="inlineStr">
        <is>
          <t>digikey</t>
        </is>
      </c>
      <c r="E21" s="5" t="inlineStr">
        <is>
          <t>https://www.digikey.com/products/en?keywords=C76512B-50-ND</t>
        </is>
      </c>
      <c r="F21" t="n">
        <v>1</v>
      </c>
      <c r="G21" t="n">
        <v>1</v>
      </c>
      <c r="H21" t="n">
        <v>1</v>
      </c>
      <c r="J21" s="7" t="n"/>
      <c r="K21" t="inlineStr">
        <is>
          <t>Electrical Build</t>
        </is>
      </c>
    </row>
    <row r="22">
      <c r="A22" t="inlineStr">
        <is>
          <t>wire 16 gauge red</t>
        </is>
      </c>
      <c r="B22" t="inlineStr">
        <is>
          <t>E11</t>
        </is>
      </c>
      <c r="C22" t="inlineStr">
        <is>
          <t>digikey</t>
        </is>
      </c>
      <c r="D22" t="inlineStr">
        <is>
          <t>digikey</t>
        </is>
      </c>
      <c r="E22" s="5" t="inlineStr">
        <is>
          <t>https://www.digikey.com/products/en?keywords=C76512R-50-ND</t>
        </is>
      </c>
      <c r="F22" t="n">
        <v>1</v>
      </c>
      <c r="G22" t="n">
        <v>1</v>
      </c>
      <c r="H22" t="n">
        <v>1</v>
      </c>
      <c r="J22" s="7" t="n"/>
      <c r="K22" t="inlineStr">
        <is>
          <t>Electrical Build</t>
        </is>
      </c>
    </row>
    <row r="23">
      <c r="A23" t="inlineStr">
        <is>
          <t>heat shrinking tubing</t>
        </is>
      </c>
      <c r="B23" t="inlineStr">
        <is>
          <t>E12</t>
        </is>
      </c>
      <c r="C23" t="inlineStr">
        <is>
          <t>digikey</t>
        </is>
      </c>
      <c r="D23" t="inlineStr">
        <is>
          <t>amazon</t>
        </is>
      </c>
      <c r="E23" s="5" t="inlineStr">
        <is>
          <t>https://www.amazon.com/Shrink-Tubing-Black-532pcs-innhom/dp/B075WR9FVL</t>
        </is>
      </c>
      <c r="F23" t="n">
        <v>1</v>
      </c>
      <c r="G23" t="n">
        <v>1</v>
      </c>
      <c r="H23" t="n">
        <v>1</v>
      </c>
      <c r="J23" s="7" t="n"/>
      <c r="K23" t="inlineStr">
        <is>
          <t>Electrical Build</t>
        </is>
      </c>
    </row>
    <row r="24">
      <c r="A24" t="inlineStr">
        <is>
          <t>wire 20 gauge black</t>
        </is>
      </c>
      <c r="B24" t="inlineStr">
        <is>
          <t>E13</t>
        </is>
      </c>
      <c r="C24" t="inlineStr">
        <is>
          <t>digikey</t>
        </is>
      </c>
      <c r="D24" t="inlineStr">
        <is>
          <t>amazon</t>
        </is>
      </c>
      <c r="E24" s="5" t="inlineStr">
        <is>
          <t>https://www.digikey.com/products/en?keywords=CN538B-50-ND</t>
        </is>
      </c>
      <c r="F24" t="n">
        <v>1</v>
      </c>
      <c r="G24" t="n">
        <v>1</v>
      </c>
      <c r="H24" t="n">
        <v>1</v>
      </c>
      <c r="J24" s="7" t="n"/>
      <c r="K24" t="inlineStr">
        <is>
          <t>Electrical Build</t>
        </is>
      </c>
    </row>
    <row r="25">
      <c r="A25" t="inlineStr">
        <is>
          <t>Battery Volt Meter</t>
        </is>
      </c>
      <c r="B25" t="inlineStr">
        <is>
          <t>E14</t>
        </is>
      </c>
      <c r="C25" t="inlineStr">
        <is>
          <t>digikey</t>
        </is>
      </c>
      <c r="D25" t="inlineStr">
        <is>
          <t>Amazon</t>
        </is>
      </c>
      <c r="E25" s="5" t="inlineStr">
        <is>
          <t>https://www.amazon.com/DROK-Multimeter-6-5-100V-Backlight-Measuring/dp/B017FSED9I</t>
        </is>
      </c>
      <c r="F25" t="n">
        <v>1</v>
      </c>
      <c r="G25" t="n">
        <v>1</v>
      </c>
      <c r="H25" t="n">
        <v>1</v>
      </c>
      <c r="I25" s="1" t="n">
        <v>13.24</v>
      </c>
      <c r="J25" s="7" t="n">
        <v>13.24</v>
      </c>
      <c r="K25" t="inlineStr">
        <is>
          <t>Electrical Build</t>
        </is>
      </c>
    </row>
    <row r="26">
      <c r="A26" t="inlineStr">
        <is>
          <t>WiFi base station</t>
        </is>
      </c>
      <c r="B26" t="inlineStr">
        <is>
          <t>E15</t>
        </is>
      </c>
      <c r="C26" t="inlineStr">
        <is>
          <t>GL.iNet GL-AXT1800</t>
        </is>
      </c>
      <c r="D26" t="inlineStr">
        <is>
          <t>gl-inet</t>
        </is>
      </c>
      <c r="E26" t="inlineStr">
        <is>
          <t>https://www.gl-inet.com/products/gl-axt1800/</t>
        </is>
      </c>
      <c r="F26" t="n">
        <v>1</v>
      </c>
      <c r="G26" t="n">
        <v>1</v>
      </c>
      <c r="H26" t="n">
        <v>1</v>
      </c>
      <c r="I26" t="n">
        <v>119</v>
      </c>
      <c r="J26">
        <f>I26*H26</f>
        <v/>
      </c>
      <c r="K26" t="inlineStr">
        <is>
          <t>Electrical Build</t>
        </is>
      </c>
    </row>
    <row r="27">
      <c r="A27" t="inlineStr">
        <is>
          <t>CAN bus terminator (120 Ohm)</t>
        </is>
      </c>
      <c r="B27" t="inlineStr">
        <is>
          <t>E16</t>
        </is>
      </c>
      <c r="C27" t="inlineStr">
        <is>
          <t>120 Ohm 0.25 W, pack</t>
        </is>
      </c>
      <c r="D27" t="inlineStr">
        <is>
          <t>amazon</t>
        </is>
      </c>
      <c r="E27" t="inlineStr"/>
      <c r="F27" t="n">
        <v>10</v>
      </c>
      <c r="G27" t="n">
        <v>6</v>
      </c>
      <c r="H27" t="n">
        <v>1</v>
      </c>
      <c r="I27" t="n">
        <v>8.99</v>
      </c>
      <c r="J27">
        <f>I27*H27</f>
        <v/>
      </c>
      <c r="K27" t="inlineStr">
        <is>
          <t>Electrical Build</t>
        </is>
      </c>
    </row>
    <row r="28">
      <c r="A28" t="inlineStr">
        <is>
          <t>USB-C PD cable (Jetson power)</t>
        </is>
      </c>
      <c r="B28" t="inlineStr">
        <is>
          <t>E17</t>
        </is>
      </c>
      <c r="C28" t="inlineStr">
        <is>
          <t>1 m, 100 W</t>
        </is>
      </c>
      <c r="D28" t="inlineStr">
        <is>
          <t>amazon</t>
        </is>
      </c>
      <c r="E28" t="inlineStr"/>
      <c r="F28" t="n">
        <v>1</v>
      </c>
      <c r="G28" t="n">
        <v>2</v>
      </c>
      <c r="H28" t="n">
        <v>2</v>
      </c>
      <c r="I28" t="n">
        <v>12.99</v>
      </c>
      <c r="J28">
        <f>I28*H28</f>
        <v/>
      </c>
      <c r="K28" t="inlineStr">
        <is>
          <t>Electrical Build</t>
        </is>
      </c>
    </row>
    <row r="29">
      <c r="A29" t="inlineStr">
        <is>
          <t>USB sensor cables (A-to-C)</t>
        </is>
      </c>
      <c r="B29" t="inlineStr">
        <is>
          <t>E18</t>
        </is>
      </c>
      <c r="C29" t="inlineStr">
        <is>
          <t>0.3-0.5 m shielded</t>
        </is>
      </c>
      <c r="D29" t="inlineStr">
        <is>
          <t>amazon</t>
        </is>
      </c>
      <c r="E29" t="inlineStr"/>
      <c r="F29" t="n">
        <v>4</v>
      </c>
      <c r="G29" t="n">
        <v>8</v>
      </c>
      <c r="H29" t="n">
        <v>2</v>
      </c>
      <c r="I29" t="n">
        <v>15.99</v>
      </c>
      <c r="J29">
        <f>I29*H29</f>
        <v/>
      </c>
      <c r="K29" t="inlineStr">
        <is>
          <t>Electrical Build</t>
        </is>
      </c>
    </row>
    <row r="30">
      <c r="A30" t="inlineStr">
        <is>
          <t>NVMe SSD (256 GB)</t>
        </is>
      </c>
      <c r="B30" t="inlineStr">
        <is>
          <t>E19</t>
        </is>
      </c>
      <c r="C30" t="inlineStr">
        <is>
          <t>M.2 2280 NVMe</t>
        </is>
      </c>
      <c r="D30" t="inlineStr">
        <is>
          <t>amazon</t>
        </is>
      </c>
      <c r="E30" t="inlineStr"/>
      <c r="F30" t="n">
        <v>1</v>
      </c>
      <c r="G30" t="n">
        <v>2</v>
      </c>
      <c r="H30" t="n">
        <v>2</v>
      </c>
      <c r="I30" t="n">
        <v>29.99</v>
      </c>
      <c r="J30">
        <f>I30*H30</f>
        <v/>
      </c>
      <c r="K30" t="inlineStr">
        <is>
          <t>Electrical Build</t>
        </is>
      </c>
    </row>
    <row r="31">
      <c r="A31" t="inlineStr">
        <is>
          <t>microSD card (64 GB)</t>
        </is>
      </c>
      <c r="B31" t="inlineStr">
        <is>
          <t>E20</t>
        </is>
      </c>
      <c r="C31" t="inlineStr">
        <is>
          <t>Samsung EVO or similar</t>
        </is>
      </c>
      <c r="D31" t="inlineStr">
        <is>
          <t>amazon</t>
        </is>
      </c>
      <c r="E31" t="inlineStr"/>
      <c r="F31" t="n">
        <v>1</v>
      </c>
      <c r="G31" t="n">
        <v>2</v>
      </c>
      <c r="H31" t="n">
        <v>2</v>
      </c>
      <c r="I31" t="n">
        <v>9.99</v>
      </c>
      <c r="J31">
        <f>I31*H31</f>
        <v/>
      </c>
      <c r="K31" t="inlineStr">
        <is>
          <t>Electrical Build</t>
        </is>
      </c>
    </row>
    <row r="32">
      <c r="A32" t="inlineStr">
        <is>
          <t>Jetson Orin Nano active cooler</t>
        </is>
      </c>
      <c r="B32" t="inlineStr">
        <is>
          <t>E21</t>
        </is>
      </c>
      <c r="C32" t="inlineStr">
        <is>
          <t>40 mm fan + heatsink</t>
        </is>
      </c>
      <c r="D32" t="inlineStr">
        <is>
          <t>sparkfun</t>
        </is>
      </c>
      <c r="E32" t="inlineStr"/>
      <c r="F32" t="n">
        <v>1</v>
      </c>
      <c r="G32" t="n">
        <v>2</v>
      </c>
      <c r="H32" t="n">
        <v>2</v>
      </c>
      <c r="I32" t="n">
        <v>19.99</v>
      </c>
      <c r="J32">
        <f>I32*H32</f>
        <v/>
      </c>
      <c r="K32" t="inlineStr">
        <is>
          <t>Electrical Build</t>
        </is>
      </c>
    </row>
    <row r="33">
      <c r="A33" t="inlineStr">
        <is>
          <t>PETG filament (cold-tolerant)</t>
        </is>
      </c>
      <c r="B33" t="inlineStr">
        <is>
          <t>E22</t>
        </is>
      </c>
      <c r="C33" t="inlineStr">
        <is>
          <t>1 kg spool</t>
        </is>
      </c>
      <c r="D33" t="inlineStr">
        <is>
          <t>matterhackers</t>
        </is>
      </c>
      <c r="E33" t="inlineStr"/>
      <c r="F33" t="n">
        <v>1</v>
      </c>
      <c r="G33" t="n">
        <v>1</v>
      </c>
      <c r="H33" t="n">
        <v>1</v>
      </c>
      <c r="I33" t="n">
        <v>25</v>
      </c>
      <c r="J33">
        <f>I33*H33</f>
        <v/>
      </c>
      <c r="K33" t="inlineStr">
        <is>
          <t>Electrical Build</t>
        </is>
      </c>
    </row>
    <row r="34">
      <c r="A34" t="inlineStr">
        <is>
          <t>M3/M4 standoff and screw kit</t>
        </is>
      </c>
      <c r="B34" t="inlineStr">
        <is>
          <t>E23</t>
        </is>
      </c>
      <c r="C34" t="inlineStr">
        <is>
          <t>brass + stainless</t>
        </is>
      </c>
      <c r="D34" t="inlineStr">
        <is>
          <t>amazon</t>
        </is>
      </c>
      <c r="E34" t="inlineStr"/>
      <c r="F34" t="n">
        <v>1</v>
      </c>
      <c r="G34" t="n">
        <v>1</v>
      </c>
      <c r="H34" t="n">
        <v>1</v>
      </c>
      <c r="I34" t="n">
        <v>18.99</v>
      </c>
      <c r="J34">
        <f>I34*H34</f>
        <v/>
      </c>
      <c r="K34" t="inlineStr">
        <is>
          <t>Electrical Build</t>
        </is>
      </c>
    </row>
    <row r="35">
      <c r="A35" s="8" t="inlineStr">
        <is>
          <t>Instruments</t>
        </is>
      </c>
      <c r="B35" s="9" t="n"/>
      <c r="C35" s="9" t="n"/>
      <c r="D35" s="9" t="n"/>
      <c r="E35" s="10" t="n"/>
      <c r="F35" s="9" t="n"/>
      <c r="G35" s="9" t="n"/>
      <c r="H35" s="9" t="n"/>
      <c r="I35" s="11" t="n"/>
      <c r="J35" s="12" t="n"/>
      <c r="K35" s="9" t="n"/>
    </row>
    <row r="36">
      <c r="A36" t="inlineStr">
        <is>
          <t>Camera</t>
        </is>
      </c>
      <c r="B36" t="inlineStr">
        <is>
          <t>I1</t>
        </is>
      </c>
      <c r="C36" t="inlineStr">
        <is>
          <t>waveshare</t>
        </is>
      </c>
      <c r="D36" t="inlineStr">
        <is>
          <t>waveshare</t>
        </is>
      </c>
      <c r="E36" s="5" t="inlineStr">
        <is>
          <t>https://www.waveshare.com/oak-d-pro.htm?utm_source=chatgpt.com</t>
        </is>
      </c>
      <c r="F36" t="n">
        <v>1</v>
      </c>
      <c r="G36" t="n">
        <v>2</v>
      </c>
      <c r="H36" t="n">
        <v>2</v>
      </c>
      <c r="I36" s="1" t="n">
        <v>399.99</v>
      </c>
      <c r="J36" s="7">
        <f>H27*I27</f>
        <v/>
      </c>
      <c r="K36" t="inlineStr">
        <is>
          <t>Instrument Build</t>
        </is>
      </c>
    </row>
    <row r="37">
      <c r="A37" t="inlineStr">
        <is>
          <t>LiDAR (navigation)</t>
        </is>
      </c>
      <c r="B37" t="inlineStr">
        <is>
          <t>I2</t>
        </is>
      </c>
      <c r="C37" t="inlineStr">
        <is>
          <t>waveshare D500</t>
        </is>
      </c>
      <c r="D37" t="inlineStr">
        <is>
          <t>Waveshare</t>
        </is>
      </c>
      <c r="E37" s="5" t="inlineStr">
        <is>
          <t>https://www.waveshare.com/d500-lidar-kit.htm</t>
        </is>
      </c>
      <c r="F37" t="n">
        <v>1</v>
      </c>
      <c r="G37" t="n">
        <v>2</v>
      </c>
      <c r="H37" t="n">
        <v>2</v>
      </c>
      <c r="I37" s="1" t="n">
        <v>99.98999999999999</v>
      </c>
      <c r="J37" s="7">
        <f>H28*I28</f>
        <v/>
      </c>
      <c r="K37" t="inlineStr">
        <is>
          <t>Instrument Build</t>
        </is>
      </c>
    </row>
    <row r="38">
      <c r="A38" t="inlineStr">
        <is>
          <t>ublox reciever</t>
        </is>
      </c>
      <c r="B38" t="inlineStr">
        <is>
          <t>I3</t>
        </is>
      </c>
      <c r="C38" t="inlineStr">
        <is>
          <t>ublox</t>
        </is>
      </c>
      <c r="D38" t="inlineStr">
        <is>
          <t>sparkfun</t>
        </is>
      </c>
      <c r="E38" s="5" t="inlineStr">
        <is>
          <t>https://www.sparkfun.com/sparkfun-gps-rtk-sma-breakout-zed-f9p-qwiic.html?gad_source=1&amp;gad_campaignid=17479024030&amp;gbraid=0AAAAADsj4ESZo4z6J-lZi4oH-Gbee1tDp&amp;gclid=CjwKCAjwpOfHBhAxEiwAm1SwEhJyyYfaN2KHVCNsFHo5kOdAcR0OF-yeA8rnDiwfwkZM3xz7EArGcxoCTRwQAvD_BwE</t>
        </is>
      </c>
      <c r="F38" t="n">
        <v>1</v>
      </c>
      <c r="G38" t="n">
        <v>3</v>
      </c>
      <c r="H38" t="n">
        <v>3</v>
      </c>
      <c r="I38" s="1" t="n">
        <v>259.95</v>
      </c>
      <c r="J38" s="7">
        <f>H29*I29</f>
        <v/>
      </c>
      <c r="K38" t="inlineStr">
        <is>
          <t>Instrument Build</t>
        </is>
      </c>
    </row>
    <row r="39">
      <c r="A39" t="inlineStr">
        <is>
          <t>GNSS caxial antenna cable and antenna</t>
        </is>
      </c>
      <c r="B39" t="inlineStr">
        <is>
          <t>I4</t>
        </is>
      </c>
      <c r="C39" t="inlineStr">
        <is>
          <t>ublox</t>
        </is>
      </c>
      <c r="D39" t="inlineStr">
        <is>
          <t>sparkfun</t>
        </is>
      </c>
      <c r="E39" s="5" t="inlineStr">
        <is>
          <t>https://www.sparkfun.com/gnss-multi-band-magnetic-mount-antenna-5m-sma.html?gad_source=1&amp;gad_campaignid=17479024030&amp;gbraid=0AAAAADsj4ESZo4z6J-lZi4oH-Gbee1tDp&amp;gclid=CjwKCAjwpOfHBhAxEiwAm1SwEm2hcZXjJ74rWbhTVg4Vf5_kyIM-BRwpnGG_LwPhgWzQJsawM5TUghoCaXMQAvD_BwE</t>
        </is>
      </c>
      <c r="F39" t="n">
        <v>1</v>
      </c>
      <c r="G39" t="n">
        <v>3</v>
      </c>
      <c r="H39" t="n">
        <v>3</v>
      </c>
      <c r="I39" s="1" t="n">
        <v>109.95</v>
      </c>
      <c r="J39" s="7">
        <f>I30*H30</f>
        <v/>
      </c>
      <c r="K39" t="inlineStr">
        <is>
          <t>Instrument Build</t>
        </is>
      </c>
    </row>
    <row r="40">
      <c r="A40" t="inlineStr">
        <is>
          <t>Pan-tilt wide-angle camera (navigation)</t>
        </is>
      </c>
      <c r="B40" t="inlineStr">
        <is>
          <t>I5</t>
        </is>
      </c>
      <c r="C40" t="inlineStr">
        <is>
          <t>waveshare 2-DOF pan-tilt + 5MP 160 deg cam</t>
        </is>
      </c>
      <c r="D40" t="inlineStr">
        <is>
          <t>waveshare</t>
        </is>
      </c>
      <c r="E40" t="inlineStr">
        <is>
          <t>https://www.waveshare.com/pan-tilt-camera-module.htm</t>
        </is>
      </c>
      <c r="F40" t="n">
        <v>1</v>
      </c>
      <c r="G40" t="n">
        <v>2</v>
      </c>
      <c r="H40" t="n">
        <v>2</v>
      </c>
      <c r="I40" t="n">
        <v>69.98999999999999</v>
      </c>
      <c r="J40">
        <f>I40*H40</f>
        <v/>
      </c>
      <c r="K40" t="inlineStr">
        <is>
          <t>Instrument Build</t>
        </is>
      </c>
    </row>
    <row r="41">
      <c r="A41" s="8" t="inlineStr">
        <is>
          <t>Tools</t>
        </is>
      </c>
      <c r="B41" s="9" t="n"/>
      <c r="C41" s="9" t="n"/>
      <c r="D41" s="9" t="n"/>
      <c r="E41" s="10" t="n"/>
      <c r="F41" s="9" t="n"/>
      <c r="G41" s="9" t="n"/>
      <c r="H41" s="9" t="n"/>
      <c r="I41" s="11" t="n"/>
      <c r="J41" s="12" t="n"/>
      <c r="K41" s="9" t="n"/>
    </row>
    <row r="42">
      <c r="A42" t="inlineStr">
        <is>
          <t>Allen Key Set</t>
        </is>
      </c>
      <c r="B42" t="inlineStr">
        <is>
          <t>D2</t>
        </is>
      </c>
      <c r="G42" t="n">
        <v>1</v>
      </c>
      <c r="J42" s="7" t="n"/>
      <c r="K42" t="inlineStr">
        <is>
          <t>Head Assembly, Mechanical Integration, Body, Wheel Assembly, Differential Pivot, Rocker-Bogie, Corner Steering</t>
        </is>
      </c>
    </row>
    <row r="43">
      <c r="A43" t="inlineStr">
        <is>
          <t>5/16 Wrench</t>
        </is>
      </c>
      <c r="B43" t="inlineStr">
        <is>
          <t>D1</t>
        </is>
      </c>
      <c r="G43" t="n">
        <v>1</v>
      </c>
      <c r="J43" s="7" t="n"/>
      <c r="K43" t="inlineStr">
        <is>
          <t>Head Assembly, Mechanical Integration, Body, Wheel Assembly, Differential Pivot, Rocker-Bogie</t>
        </is>
      </c>
    </row>
    <row r="44">
      <c r="A44" t="inlineStr">
        <is>
          <t>Center punch or Starter drill bit</t>
        </is>
      </c>
      <c r="B44" t="inlineStr">
        <is>
          <t>D7</t>
        </is>
      </c>
      <c r="G44" t="n">
        <v>1</v>
      </c>
      <c r="J44" s="7" t="n"/>
      <c r="K44" t="inlineStr">
        <is>
          <t>Differential Pivot, Wheel Assembly</t>
        </is>
      </c>
    </row>
    <row r="45">
      <c r="A45" t="inlineStr">
        <is>
          <t>Hand Drill or Drill Press</t>
        </is>
      </c>
      <c r="B45" t="inlineStr">
        <is>
          <t>D3</t>
        </is>
      </c>
      <c r="G45" t="n">
        <v>1</v>
      </c>
      <c r="J45" s="7" t="n"/>
      <c r="K45" t="inlineStr">
        <is>
          <t>Differential Pivot, Wheel Assembly</t>
        </is>
      </c>
    </row>
    <row r="46">
      <c r="A46" t="inlineStr">
        <is>
          <t>Drill bit \#23</t>
        </is>
      </c>
      <c r="B46" t="inlineStr">
        <is>
          <t>D6</t>
        </is>
      </c>
      <c r="G46" t="n">
        <v>1</v>
      </c>
      <c r="J46" s="7" t="n"/>
      <c r="K46" t="inlineStr">
        <is>
          <t>Differential Pivot, Wheel Assembly</t>
        </is>
      </c>
    </row>
    <row r="47">
      <c r="A47" t="inlineStr">
        <is>
          <t>Metal Hacksaw or Bandsaw</t>
        </is>
      </c>
      <c r="B47" t="inlineStr">
        <is>
          <t>D4</t>
        </is>
      </c>
      <c r="G47" t="n">
        <v>1</v>
      </c>
      <c r="J47" s="7" t="n"/>
      <c r="K47" t="inlineStr">
        <is>
          <t>Head Assembly, Wheel Assembly, Differential Pivot, Rocker-Bogie, Corner Steering</t>
        </is>
      </c>
    </row>
    <row r="48">
      <c r="A48" t="inlineStr">
        <is>
          <t>Vice Clamp or C Clamps</t>
        </is>
      </c>
      <c r="B48" t="inlineStr">
        <is>
          <t>D5</t>
        </is>
      </c>
      <c r="G48" t="n">
        <v>1</v>
      </c>
      <c r="J48" s="7" t="n"/>
      <c r="K48" t="inlineStr">
        <is>
          <t>Differential Pivot, Wheel Assembly, Corner Steering</t>
        </is>
      </c>
    </row>
    <row r="49">
      <c r="A49" t="inlineStr">
        <is>
          <t>Vice or V-Clamp</t>
        </is>
      </c>
      <c r="B49" t="inlineStr">
        <is>
          <t>D8</t>
        </is>
      </c>
      <c r="G49" t="n">
        <v>1</v>
      </c>
      <c r="J49" s="7" t="n"/>
      <c r="K49" t="inlineStr">
        <is>
          <t>Head Assembly, Differential Pivot</t>
        </is>
      </c>
    </row>
    <row r="50">
      <c r="A50" t="inlineStr">
        <is>
          <t>Digital Multimeter</t>
        </is>
      </c>
      <c r="B50" t="inlineStr">
        <is>
          <t>D9</t>
        </is>
      </c>
      <c r="G50" t="n">
        <v>1</v>
      </c>
      <c r="J50" s="7" t="n"/>
      <c r="K50" t="inlineStr">
        <is>
          <t>PCB Testing</t>
        </is>
      </c>
    </row>
    <row r="51">
      <c r="A51" t="inlineStr">
        <is>
          <t>Solder Iron</t>
        </is>
      </c>
      <c r="B51" t="inlineStr">
        <is>
          <t>D10</t>
        </is>
      </c>
      <c r="G51" t="n">
        <v>1</v>
      </c>
      <c r="J51" s="7" t="n"/>
      <c r="K51" t="inlineStr">
        <is>
          <t>PCB Testing</t>
        </is>
      </c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3" t="inlineStr">
        <is>
          <t>Total</t>
        </is>
      </c>
      <c r="J52" s="14">
        <f>SUM(J6:J41)</f>
        <v/>
      </c>
      <c r="K52" s="15" t="n"/>
    </row>
  </sheetData>
  <autoFilter ref="A4:K4">
    <sortState ref="A5:K5">
      <sortCondition ref="I4:I5"/>
    </sortState>
  </autoFilter>
  <hyperlinks>
    <hyperlink xmlns:r="http://schemas.openxmlformats.org/officeDocument/2006/relationships" ref="E15" r:id="rId1"/>
    <hyperlink xmlns:r="http://schemas.openxmlformats.org/officeDocument/2006/relationships" ref="E25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2019-03-14T00:29:24Z</dcterms:created>
  <dcterms:modified xsi:type="dcterms:W3CDTF">2026-04-13T23:37:21Z</dcterms:modified>
  <cp:lastModifiedBy>Andrew Hoffman</cp:lastModifiedBy>
</cp:coreProperties>
</file>