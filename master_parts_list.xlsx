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whoffman/Downloads/"/>
    </mc:Choice>
  </mc:AlternateContent>
  <xr:revisionPtr revIDLastSave="0" documentId="13_ncr:1_{67C59CA3-9F44-A84B-9547-B0E6A9CCE8FD}" xr6:coauthVersionLast="47" xr6:coauthVersionMax="47" xr10:uidLastSave="{00000000-0000-0000-0000-000000000000}"/>
  <bookViews>
    <workbookView xWindow="-1440" yWindow="3040" windowWidth="23360" windowHeight="15040" xr2:uid="{00000000-000D-0000-FFFF-FFFF00000000}"/>
  </bookViews>
  <sheets>
    <sheet name="Sheet1" sheetId="1" r:id="rId1"/>
  </sheets>
  <definedNames>
    <definedName name="_xlnm._FilterDatabase" localSheetId="0" hidden="1">Sheet1!$A$4:$K$4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8" i="1"/>
  <c r="J30" i="1"/>
  <c r="J19" i="1"/>
  <c r="J29" i="1"/>
  <c r="J6" i="1"/>
  <c r="J7" i="1"/>
  <c r="J8" i="1"/>
  <c r="J13" i="1"/>
  <c r="J14" i="1"/>
  <c r="J42" i="1" l="1"/>
  <c r="K2" i="1" s="1"/>
</calcChain>
</file>

<file path=xl/sharedStrings.xml><?xml version="1.0" encoding="utf-8"?>
<sst xmlns="http://schemas.openxmlformats.org/spreadsheetml/2006/main" count="188" uniqueCount="128">
  <si>
    <t>Total</t>
  </si>
  <si>
    <t>Part Name</t>
  </si>
  <si>
    <t>Project Ref Code</t>
  </si>
  <si>
    <t>Model/Config</t>
  </si>
  <si>
    <t>Site</t>
  </si>
  <si>
    <t>Link</t>
  </si>
  <si>
    <t>Sold in Packs of</t>
  </si>
  <si>
    <t>Total Used in Project</t>
  </si>
  <si>
    <t>Quantity to Buy</t>
  </si>
  <si>
    <t>Price Each</t>
  </si>
  <si>
    <t>Price Total</t>
  </si>
  <si>
    <t>Used in Sections</t>
  </si>
  <si>
    <t>Differential Pivot, Wheel Assembly</t>
  </si>
  <si>
    <t>E1</t>
  </si>
  <si>
    <t>Amazon</t>
  </si>
  <si>
    <t>Electrical Build</t>
  </si>
  <si>
    <t>Battery</t>
  </si>
  <si>
    <t>https://www.amazon.com/PET-Expandable-Braided-Sleeving-10ft/dp/B00ZATM676?th=1</t>
  </si>
  <si>
    <t>Battery Volt Meter</t>
  </si>
  <si>
    <t>https://www.amazon.com/DROK-Multimeter-6-5-100V-Backlight-Measuring/dp/B017FSED9I</t>
  </si>
  <si>
    <t>E2</t>
  </si>
  <si>
    <t>PCB Testing</t>
  </si>
  <si>
    <t>https://www.amazon.com/Shrink-Tubing-Black-532pcs-innhom/dp/B075WR9FVL</t>
  </si>
  <si>
    <t>https://www.digikey.com/products/en?keywords=C76512B-50-ND</t>
  </si>
  <si>
    <t>https://www.digikey.com/products/en?keywords=C76512R-50-ND</t>
  </si>
  <si>
    <t>E3</t>
  </si>
  <si>
    <t>https://www.digikey.com/products/en?keywords=CN538B-50-ND</t>
  </si>
  <si>
    <t>Allen Key Set</t>
  </si>
  <si>
    <t>D2</t>
  </si>
  <si>
    <t>Head Assembly, Mechanical Integration, Body, Wheel Assembly, Differential Pivot, Rocker-Bogie, Corner Steering</t>
  </si>
  <si>
    <t>5/16 Wrench</t>
  </si>
  <si>
    <t>D1</t>
  </si>
  <si>
    <t>Head Assembly, Mechanical Integration, Body, Wheel Assembly, Differential Pivot, Rocker-Bogie</t>
  </si>
  <si>
    <t>Center punch or Starter drill bit</t>
  </si>
  <si>
    <t>D7</t>
  </si>
  <si>
    <t>Hand Drill or Drill Press</t>
  </si>
  <si>
    <t>D3</t>
  </si>
  <si>
    <t>Drill bit \#23</t>
  </si>
  <si>
    <t>D6</t>
  </si>
  <si>
    <t>Metal Hacksaw or Bandsaw</t>
  </si>
  <si>
    <t>D4</t>
  </si>
  <si>
    <t>Head Assembly, Wheel Assembly, Differential Pivot, Rocker-Bogie, Corner Steering</t>
  </si>
  <si>
    <t>Vice Clamp or C Clamps</t>
  </si>
  <si>
    <t>D5</t>
  </si>
  <si>
    <t>Differential Pivot, Wheel Assembly, Corner Steering</t>
  </si>
  <si>
    <t>Vice or V-Clamp</t>
  </si>
  <si>
    <t>D8</t>
  </si>
  <si>
    <t>Head Assembly, Differential Pivot</t>
  </si>
  <si>
    <t>Digital Multimeter</t>
  </si>
  <si>
    <t>D9</t>
  </si>
  <si>
    <t>Solder Iron</t>
  </si>
  <si>
    <t>D10</t>
  </si>
  <si>
    <t>amazon</t>
  </si>
  <si>
    <t>ublox</t>
  </si>
  <si>
    <t>wire braid</t>
  </si>
  <si>
    <t>digikey</t>
  </si>
  <si>
    <t>wire 16 gauge red</t>
  </si>
  <si>
    <t>wire 16 gauge black</t>
  </si>
  <si>
    <t>heat shrinking tubing</t>
  </si>
  <si>
    <t>wire 20 gauge black</t>
  </si>
  <si>
    <t>MTT</t>
  </si>
  <si>
    <t>Mechanical Build</t>
  </si>
  <si>
    <t>MTT drive systems</t>
  </si>
  <si>
    <t>Jetson nano</t>
  </si>
  <si>
    <t>NVIDIA jetson nano</t>
  </si>
  <si>
    <t>NVIDIA</t>
  </si>
  <si>
    <t>ublox reciever</t>
  </si>
  <si>
    <t>Camera</t>
  </si>
  <si>
    <t>LiDAR</t>
  </si>
  <si>
    <t>I1</t>
  </si>
  <si>
    <t>I2</t>
  </si>
  <si>
    <t>Authors: Andrew Hoffman (Rice University, Lamont-Doherty Earth Observatory), Racheet Matai (Lamont Doherty Earth Observatory)</t>
  </si>
  <si>
    <t>MTT articulated hinge system</t>
  </si>
  <si>
    <t>M2</t>
  </si>
  <si>
    <t>M1</t>
  </si>
  <si>
    <t>MTT instrument sled</t>
  </si>
  <si>
    <t>M3</t>
  </si>
  <si>
    <t>MTT 154</t>
  </si>
  <si>
    <t>CAN BUS module</t>
  </si>
  <si>
    <t>Deutsch DT 6-pin connectors</t>
  </si>
  <si>
    <t>DC 10V-60V step down to 5V 5A</t>
  </si>
  <si>
    <t>E4</t>
  </si>
  <si>
    <t>E5</t>
  </si>
  <si>
    <t>E6</t>
  </si>
  <si>
    <t>E7</t>
  </si>
  <si>
    <t>Motor fuse relay switch power with harness</t>
  </si>
  <si>
    <t>uxcell</t>
  </si>
  <si>
    <t>ybbott</t>
  </si>
  <si>
    <t>WWZMDiB</t>
  </si>
  <si>
    <t>Deutusacc</t>
  </si>
  <si>
    <t>https://www.amazon.com/dp/B09V7VZX47?ref=cm_sw_r_cso_cp_apan_dp_RDND0SMWS70R33E1QHFM&amp;ref_=cm_sw_r_cso_cp_apan_dp_RDND0SMWS70R33E1QHFM&amp;social_share=cm_sw_r_cso_cp_apan_dp_RDND0SMWS70R33E1QHFM&amp;titleSource=true&amp;th=1</t>
  </si>
  <si>
    <t>https://www.amazon.com/dp/B0BVH43P9L?ref=cm_sw_r_cso_cp_apan_dp_AVSQJ4KQB05QJJ9VG0XK&amp;ref_=cm_sw_r_cso_cp_apan_dp_AVSQJ4KQB05QJJ9VG0XK&amp;social_share=cm_sw_r_cso_cp_apan_dp_AVSQJ4KQB05QJJ9VG0XK&amp;titleSource=true</t>
  </si>
  <si>
    <t>https://www.amazon.com/dp/B07QRPFT96?ref=cm_sw_r_cso_cp_apan_dp_68QJJMF2A6TMFT4KS7R3&amp;ref_=cm_sw_r_cso_cp_apan_dp_68QJJMF2A6TMFT4KS7R3&amp;social_share=cm_sw_r_cso_cp_apan_dp_68QJJMF2A6TMFT4KS7R3&amp;titleSource=true&amp;th=1</t>
  </si>
  <si>
    <t>https://www.amazon.com/dp/B0CZDMJNVQ?ref=cm_sw_r_cso_cp_apan_dp_EZC62DH6YR9YAT762RDW&amp;ref_=cm_sw_r_cso_cp_apan_dp_EZC62DH6YR9YAT762RDW&amp;social_share=cm_sw_r_cso_cp_apan_dp_EZC62DH6YR9YAT762RDW&amp;titleSource=true&amp;th=1</t>
  </si>
  <si>
    <t>https://www.sparkfun.com/nvidia-jetson-orin-nano-developer-kit.html?gad_source=1&amp;gad_campaignid=17479024030&amp;gbraid=0AAAAADsj4ESZo4z6J-lZi4oH-Gbee1tDp&amp;gclid=CjwKCAjwpOfHBhAxEiwAm1SwEnDoAGNxGVBrMfDz3SxEgmrdc__G0zASww3opdL0DVLWkP3HYTavCRoCUl0QAvD_BwE</t>
  </si>
  <si>
    <t>I3</t>
  </si>
  <si>
    <t>I4</t>
  </si>
  <si>
    <t>sparkfun</t>
  </si>
  <si>
    <t>https://mtt136.com/</t>
  </si>
  <si>
    <t>joystick</t>
  </si>
  <si>
    <t>Coupling equipment for snake mode</t>
  </si>
  <si>
    <t>Coupling equipment for skid-steer mode</t>
  </si>
  <si>
    <t>M4</t>
  </si>
  <si>
    <t>M5</t>
  </si>
  <si>
    <t>Instrument Build</t>
  </si>
  <si>
    <t>The cost information contained in this document is of a budgetary and planning nature and is intended for informational purposes only.  It does not constitute a commitment on the part of Rice University or Lamont-Doherty Earth Observatory.</t>
  </si>
  <si>
    <t>E8</t>
  </si>
  <si>
    <t>E9</t>
  </si>
  <si>
    <t>E10</t>
  </si>
  <si>
    <t>E11</t>
  </si>
  <si>
    <t>E12</t>
  </si>
  <si>
    <t>E13</t>
  </si>
  <si>
    <t>Instruments</t>
  </si>
  <si>
    <t>Mechanical system</t>
  </si>
  <si>
    <t>Electronical system</t>
  </si>
  <si>
    <t>Tools</t>
  </si>
  <si>
    <t>https://www.sparkfun.com/sparkfun-gps-rtk-sma-breakout-zed-f9p-qwiic.html?gad_source=1&amp;gad_campaignid=17479024030&amp;gbraid=0AAAAADsj4ESZo4z6J-lZi4oH-Gbee1tDp&amp;gclid=CjwKCAjwpOfHBhAxEiwAm1SwEhJyyYfaN2KHVCNsFHo5kOdAcR0OF-yeA8rnDiwfwkZM3xz7EArGcxoCTRwQAvD_BwE</t>
  </si>
  <si>
    <t>Open Log Artemis</t>
  </si>
  <si>
    <t>E14</t>
  </si>
  <si>
    <t>sparfun</t>
  </si>
  <si>
    <t>CjwKCAjwpOfHBhAxEiwAm1SwEgGs8VFxhSpFGDrF6AeHjYDrzAfPAl0BzaCyyi5uLWIJA0sdUTnuBRoCKWYQAvD_BwE</t>
  </si>
  <si>
    <t>GNSS caxial antenna cable and antenna</t>
  </si>
  <si>
    <t>https://www.sparkfun.com/gnss-multi-band-magnetic-mount-antenna-5m-sma.html?gad_source=1&amp;gad_campaignid=17479024030&amp;gbraid=0AAAAADsj4ESZo4z6J-lZi4oH-Gbee1tDp&amp;gclid=CjwKCAjwpOfHBhAxEiwAm1SwEm2hcZXjJ74rWbhTVg4Vf5_kyIM-BRwpnGG_LwPhgWzQJsawM5TUghoCaXMQAvD_BwE</t>
  </si>
  <si>
    <t>© 2022 University of Washington. Quaternary Research Center sponsorship acknowledged</t>
  </si>
  <si>
    <t>Waveshare</t>
  </si>
  <si>
    <t>waveshare</t>
  </si>
  <si>
    <t>https://www.waveshare.com/d200-lidar-kit.htm?utm_source=chatgpt.com</t>
  </si>
  <si>
    <t>https://www.waveshare.com/oak-d-pro.htm?utm_source=chatgpt.com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</si>
</sst>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1" applyAlignment="1" applyProtection="1"/>
    <xf numFmtId="0" fontId="0" fillId="0" borderId="0" xfId="0" applyFont="1"/>
    <xf numFmtId="164" fontId="0" fillId="0" borderId="2" xfId="0" applyNumberFormat="1" applyBorder="1"/>
    <xf numFmtId="0" fontId="3" fillId="0" borderId="4" xfId="0" applyFont="1" applyBorder="1"/>
    <xf numFmtId="0" fontId="0" fillId="0" borderId="4" xfId="0" applyBorder="1"/>
    <xf numFmtId="0" fontId="2" fillId="0" borderId="4" xfId="1" applyBorder="1" applyAlignment="1" applyProtection="1"/>
    <xf numFmtId="164" fontId="0" fillId="0" borderId="4" xfId="0" applyNumberFormat="1" applyBorder="1"/>
    <xf numFmtId="164" fontId="0" fillId="0" borderId="5" xfId="0" applyNumberFormat="1" applyBorder="1"/>
    <xf numFmtId="164" fontId="3" fillId="0" borderId="1" xfId="0" applyNumberFormat="1" applyFont="1" applyBorder="1"/>
    <xf numFmtId="164" fontId="3" fillId="0" borderId="3" xfId="0" applyNumberFormat="1" applyFont="1" applyBorder="1"/>
    <xf numFmtId="0" fontId="0" fillId="0" borderId="1" xfId="0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BVH43P9L?ref=cm_sw_r_cso_cp_apan_dp_AVSQJ4KQB05QJJ9VG0XK&amp;ref_=cm_sw_r_cso_cp_apan_dp_AVSQJ4KQB05QJJ9VG0XK&amp;social_share=cm_sw_r_cso_cp_apan_dp_AVSQJ4KQB05QJJ9VG0XK&amp;titleSource=true" TargetMode="External"/><Relationship Id="rId1" Type="http://schemas.openxmlformats.org/officeDocument/2006/relationships/hyperlink" Target="https://www.amazon.com/DROK-Multimeter-6-5-100V-Backlight-Measuring/dp/B017FSED9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B3" workbookViewId="0">
      <selection activeCell="I9" sqref="I9"/>
    </sheetView>
  </sheetViews>
  <sheetFormatPr baseColWidth="10" defaultColWidth="8.83203125" defaultRowHeight="15" x14ac:dyDescent="0.2"/>
  <cols>
    <col min="1" max="1" width="37.6640625" customWidth="1"/>
    <col min="2" max="2" width="12.6640625" customWidth="1"/>
    <col min="3" max="3" width="26.6640625" customWidth="1"/>
    <col min="4" max="4" width="13.33203125" customWidth="1"/>
    <col min="5" max="5" width="40.6640625" customWidth="1"/>
    <col min="6" max="8" width="12.6640625" customWidth="1"/>
    <col min="9" max="10" width="12.6640625" style="1" customWidth="1"/>
    <col min="11" max="11" width="25.6640625" customWidth="1"/>
  </cols>
  <sheetData>
    <row r="1" spans="1:11" s="2" customFormat="1" ht="30" customHeight="1" x14ac:dyDescent="0.25">
      <c r="A1" s="2" t="s">
        <v>105</v>
      </c>
    </row>
    <row r="2" spans="1:11" s="2" customFormat="1" ht="30" customHeight="1" x14ac:dyDescent="0.25">
      <c r="A2" s="2" t="s">
        <v>71</v>
      </c>
      <c r="J2" s="2" t="s">
        <v>0</v>
      </c>
      <c r="K2" s="3">
        <f>SUM(J5:J123)</f>
        <v>260781.6</v>
      </c>
    </row>
    <row r="3" spans="1:11" s="2" customFormat="1" ht="30" customHeight="1" x14ac:dyDescent="0.25">
      <c r="A3" s="2" t="s">
        <v>123</v>
      </c>
    </row>
    <row r="4" spans="1:11" s="4" customFormat="1" ht="60" customHeight="1" x14ac:dyDescent="0.2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2">
      <c r="A5" s="8" t="s">
        <v>113</v>
      </c>
      <c r="B5" s="9"/>
      <c r="C5" s="9"/>
      <c r="D5" s="9"/>
      <c r="E5" s="10"/>
      <c r="F5" s="9"/>
      <c r="G5" s="9"/>
      <c r="H5" s="9"/>
      <c r="I5" s="11"/>
      <c r="J5" s="12"/>
      <c r="K5" s="9"/>
    </row>
    <row r="6" spans="1:11" x14ac:dyDescent="0.2">
      <c r="A6" t="s">
        <v>62</v>
      </c>
      <c r="B6" t="s">
        <v>74</v>
      </c>
      <c r="C6" t="s">
        <v>77</v>
      </c>
      <c r="D6" t="s">
        <v>60</v>
      </c>
      <c r="E6" s="5" t="s">
        <v>98</v>
      </c>
      <c r="F6">
        <v>1</v>
      </c>
      <c r="G6">
        <v>2</v>
      </c>
      <c r="H6">
        <v>2</v>
      </c>
      <c r="I6" s="1">
        <v>43495</v>
      </c>
      <c r="J6" s="7">
        <f t="shared" ref="J6" si="0">I6*H6</f>
        <v>86990</v>
      </c>
      <c r="K6" t="s">
        <v>61</v>
      </c>
    </row>
    <row r="7" spans="1:11" x14ac:dyDescent="0.2">
      <c r="A7" s="6" t="s">
        <v>72</v>
      </c>
      <c r="B7" t="s">
        <v>73</v>
      </c>
      <c r="C7" t="s">
        <v>77</v>
      </c>
      <c r="D7" t="s">
        <v>60</v>
      </c>
      <c r="E7" s="5" t="s">
        <v>98</v>
      </c>
      <c r="F7">
        <v>1</v>
      </c>
      <c r="G7">
        <v>2</v>
      </c>
      <c r="H7">
        <v>2</v>
      </c>
      <c r="I7" s="1">
        <v>2995</v>
      </c>
      <c r="J7" s="7">
        <f t="shared" ref="J7:J13" si="1">I7*H7</f>
        <v>5990</v>
      </c>
      <c r="K7" t="s">
        <v>61</v>
      </c>
    </row>
    <row r="8" spans="1:11" x14ac:dyDescent="0.2">
      <c r="A8" s="6" t="s">
        <v>75</v>
      </c>
      <c r="B8" t="s">
        <v>76</v>
      </c>
      <c r="C8" t="s">
        <v>77</v>
      </c>
      <c r="D8" t="s">
        <v>60</v>
      </c>
      <c r="E8" s="5" t="s">
        <v>98</v>
      </c>
      <c r="F8">
        <v>1</v>
      </c>
      <c r="G8">
        <v>2</v>
      </c>
      <c r="H8">
        <v>2</v>
      </c>
      <c r="I8" s="1">
        <v>3295</v>
      </c>
      <c r="J8" s="7">
        <f t="shared" si="1"/>
        <v>6590</v>
      </c>
      <c r="K8" t="s">
        <v>61</v>
      </c>
    </row>
    <row r="9" spans="1:11" x14ac:dyDescent="0.2">
      <c r="A9" s="6" t="s">
        <v>100</v>
      </c>
      <c r="B9" t="s">
        <v>102</v>
      </c>
      <c r="C9" t="s">
        <v>77</v>
      </c>
      <c r="D9" t="s">
        <v>60</v>
      </c>
      <c r="E9" s="5" t="s">
        <v>98</v>
      </c>
      <c r="F9">
        <v>1</v>
      </c>
      <c r="G9">
        <v>1</v>
      </c>
      <c r="H9">
        <v>1</v>
      </c>
      <c r="J9" s="7"/>
      <c r="K9" t="s">
        <v>61</v>
      </c>
    </row>
    <row r="10" spans="1:11" x14ac:dyDescent="0.2">
      <c r="A10" s="6" t="s">
        <v>101</v>
      </c>
      <c r="B10" t="s">
        <v>103</v>
      </c>
      <c r="C10" t="s">
        <v>77</v>
      </c>
      <c r="D10" t="s">
        <v>60</v>
      </c>
      <c r="E10" s="5" t="s">
        <v>98</v>
      </c>
      <c r="F10">
        <v>1</v>
      </c>
      <c r="G10">
        <v>1</v>
      </c>
      <c r="H10">
        <v>1</v>
      </c>
      <c r="J10" s="7"/>
      <c r="K10" t="s">
        <v>61</v>
      </c>
    </row>
    <row r="11" spans="1:11" x14ac:dyDescent="0.2">
      <c r="A11" s="8" t="s">
        <v>114</v>
      </c>
      <c r="B11" s="9"/>
      <c r="C11" s="9"/>
      <c r="D11" s="9"/>
      <c r="E11" s="10"/>
      <c r="F11" s="9"/>
      <c r="G11" s="9"/>
      <c r="H11" s="9"/>
      <c r="I11" s="9"/>
      <c r="J11" s="12"/>
      <c r="K11" s="9"/>
    </row>
    <row r="12" spans="1:11" x14ac:dyDescent="0.2">
      <c r="A12" s="6" t="s">
        <v>99</v>
      </c>
      <c r="B12" t="s">
        <v>13</v>
      </c>
      <c r="C12" t="s">
        <v>77</v>
      </c>
      <c r="D12" t="s">
        <v>60</v>
      </c>
      <c r="E12" s="5" t="s">
        <v>98</v>
      </c>
      <c r="F12">
        <v>1</v>
      </c>
      <c r="G12">
        <v>1</v>
      </c>
      <c r="H12">
        <v>1</v>
      </c>
      <c r="J12" s="7"/>
      <c r="K12" t="s">
        <v>15</v>
      </c>
    </row>
    <row r="13" spans="1:11" x14ac:dyDescent="0.2">
      <c r="A13" t="s">
        <v>16</v>
      </c>
      <c r="B13" t="s">
        <v>20</v>
      </c>
      <c r="C13" t="s">
        <v>77</v>
      </c>
      <c r="D13" t="s">
        <v>60</v>
      </c>
      <c r="E13" s="5" t="s">
        <v>98</v>
      </c>
      <c r="F13">
        <v>1</v>
      </c>
      <c r="G13">
        <v>2</v>
      </c>
      <c r="H13">
        <v>6</v>
      </c>
      <c r="I13" s="1">
        <v>4695</v>
      </c>
      <c r="J13" s="7">
        <f t="shared" si="1"/>
        <v>28170</v>
      </c>
      <c r="K13" t="s">
        <v>15</v>
      </c>
    </row>
    <row r="14" spans="1:11" x14ac:dyDescent="0.2">
      <c r="A14" t="s">
        <v>63</v>
      </c>
      <c r="B14" t="s">
        <v>25</v>
      </c>
      <c r="C14" t="s">
        <v>64</v>
      </c>
      <c r="D14" t="s">
        <v>65</v>
      </c>
      <c r="E14" s="5" t="s">
        <v>94</v>
      </c>
      <c r="F14">
        <v>1</v>
      </c>
      <c r="G14">
        <v>2</v>
      </c>
      <c r="H14">
        <v>2</v>
      </c>
      <c r="I14" s="1">
        <v>249</v>
      </c>
      <c r="J14" s="7">
        <f>I14*H14</f>
        <v>498</v>
      </c>
      <c r="K14" t="s">
        <v>15</v>
      </c>
    </row>
    <row r="15" spans="1:11" x14ac:dyDescent="0.2">
      <c r="A15" t="s">
        <v>78</v>
      </c>
      <c r="B15" t="s">
        <v>81</v>
      </c>
      <c r="C15" t="s">
        <v>88</v>
      </c>
      <c r="D15" t="s">
        <v>52</v>
      </c>
      <c r="E15" s="5" t="s">
        <v>91</v>
      </c>
      <c r="F15">
        <v>1</v>
      </c>
      <c r="G15">
        <v>1</v>
      </c>
      <c r="H15">
        <v>2</v>
      </c>
      <c r="J15" s="7"/>
      <c r="K15" t="s">
        <v>15</v>
      </c>
    </row>
    <row r="16" spans="1:11" x14ac:dyDescent="0.2">
      <c r="A16" t="s">
        <v>79</v>
      </c>
      <c r="B16" t="s">
        <v>82</v>
      </c>
      <c r="C16" t="s">
        <v>89</v>
      </c>
      <c r="D16" t="s">
        <v>52</v>
      </c>
      <c r="E16" s="5" t="s">
        <v>90</v>
      </c>
      <c r="F16">
        <v>6</v>
      </c>
      <c r="G16">
        <v>2</v>
      </c>
      <c r="H16">
        <v>1</v>
      </c>
      <c r="J16" s="7"/>
      <c r="K16" t="s">
        <v>15</v>
      </c>
    </row>
    <row r="17" spans="1:11" x14ac:dyDescent="0.2">
      <c r="A17" t="s">
        <v>80</v>
      </c>
      <c r="B17" t="s">
        <v>83</v>
      </c>
      <c r="C17" t="s">
        <v>87</v>
      </c>
      <c r="D17" t="s">
        <v>52</v>
      </c>
      <c r="E17" s="5" t="s">
        <v>93</v>
      </c>
      <c r="F17">
        <v>1</v>
      </c>
      <c r="G17">
        <v>1</v>
      </c>
      <c r="H17">
        <v>2</v>
      </c>
      <c r="I17" s="1">
        <v>18.989999999999998</v>
      </c>
      <c r="J17" s="7"/>
      <c r="K17" t="s">
        <v>15</v>
      </c>
    </row>
    <row r="18" spans="1:11" x14ac:dyDescent="0.2">
      <c r="A18" t="s">
        <v>85</v>
      </c>
      <c r="B18" t="s">
        <v>84</v>
      </c>
      <c r="C18" t="s">
        <v>86</v>
      </c>
      <c r="D18" t="s">
        <v>52</v>
      </c>
      <c r="E18" s="5" t="s">
        <v>92</v>
      </c>
      <c r="F18">
        <v>3</v>
      </c>
      <c r="G18">
        <v>2</v>
      </c>
      <c r="H18">
        <v>1</v>
      </c>
      <c r="I18" s="1">
        <v>13.49</v>
      </c>
      <c r="J18" s="7"/>
      <c r="K18" t="s">
        <v>15</v>
      </c>
    </row>
    <row r="19" spans="1:11" x14ac:dyDescent="0.2">
      <c r="A19" t="s">
        <v>117</v>
      </c>
      <c r="B19" t="s">
        <v>106</v>
      </c>
      <c r="C19" t="s">
        <v>97</v>
      </c>
      <c r="D19" t="s">
        <v>119</v>
      </c>
      <c r="E19" s="5" t="s">
        <v>120</v>
      </c>
      <c r="F19">
        <v>1</v>
      </c>
      <c r="G19">
        <v>2</v>
      </c>
      <c r="H19">
        <v>2</v>
      </c>
      <c r="I19" s="1">
        <v>59.95</v>
      </c>
      <c r="J19" s="7">
        <f>H19*I19</f>
        <v>119.9</v>
      </c>
      <c r="K19" t="s">
        <v>15</v>
      </c>
    </row>
    <row r="20" spans="1:11" x14ac:dyDescent="0.2">
      <c r="A20" t="s">
        <v>54</v>
      </c>
      <c r="B20" t="s">
        <v>107</v>
      </c>
      <c r="C20" t="s">
        <v>55</v>
      </c>
      <c r="D20" t="s">
        <v>52</v>
      </c>
      <c r="E20" s="5" t="s">
        <v>17</v>
      </c>
      <c r="F20">
        <v>1</v>
      </c>
      <c r="G20">
        <v>1</v>
      </c>
      <c r="H20">
        <v>1</v>
      </c>
      <c r="J20" s="7"/>
      <c r="K20" t="s">
        <v>15</v>
      </c>
    </row>
    <row r="21" spans="1:11" x14ac:dyDescent="0.2">
      <c r="A21" t="s">
        <v>57</v>
      </c>
      <c r="B21" t="s">
        <v>108</v>
      </c>
      <c r="C21" t="s">
        <v>55</v>
      </c>
      <c r="D21" t="s">
        <v>55</v>
      </c>
      <c r="E21" s="5" t="s">
        <v>23</v>
      </c>
      <c r="F21">
        <v>1</v>
      </c>
      <c r="G21">
        <v>1</v>
      </c>
      <c r="H21">
        <v>1</v>
      </c>
      <c r="J21" s="7"/>
      <c r="K21" t="s">
        <v>15</v>
      </c>
    </row>
    <row r="22" spans="1:11" x14ac:dyDescent="0.2">
      <c r="A22" t="s">
        <v>56</v>
      </c>
      <c r="B22" t="s">
        <v>109</v>
      </c>
      <c r="C22" t="s">
        <v>55</v>
      </c>
      <c r="D22" t="s">
        <v>55</v>
      </c>
      <c r="E22" s="5" t="s">
        <v>24</v>
      </c>
      <c r="F22">
        <v>1</v>
      </c>
      <c r="G22">
        <v>1</v>
      </c>
      <c r="H22">
        <v>1</v>
      </c>
      <c r="J22" s="7"/>
      <c r="K22" t="s">
        <v>15</v>
      </c>
    </row>
    <row r="23" spans="1:11" x14ac:dyDescent="0.2">
      <c r="A23" t="s">
        <v>58</v>
      </c>
      <c r="B23" t="s">
        <v>110</v>
      </c>
      <c r="C23" t="s">
        <v>55</v>
      </c>
      <c r="D23" t="s">
        <v>52</v>
      </c>
      <c r="E23" s="5" t="s">
        <v>22</v>
      </c>
      <c r="F23">
        <v>1</v>
      </c>
      <c r="G23">
        <v>1</v>
      </c>
      <c r="H23">
        <v>1</v>
      </c>
      <c r="J23" s="7"/>
      <c r="K23" t="s">
        <v>15</v>
      </c>
    </row>
    <row r="24" spans="1:11" x14ac:dyDescent="0.2">
      <c r="A24" t="s">
        <v>59</v>
      </c>
      <c r="B24" t="s">
        <v>111</v>
      </c>
      <c r="C24" t="s">
        <v>55</v>
      </c>
      <c r="D24" t="s">
        <v>52</v>
      </c>
      <c r="E24" s="5" t="s">
        <v>26</v>
      </c>
      <c r="F24">
        <v>1</v>
      </c>
      <c r="G24">
        <v>1</v>
      </c>
      <c r="H24">
        <v>1</v>
      </c>
      <c r="J24" s="7"/>
      <c r="K24" t="s">
        <v>15</v>
      </c>
    </row>
    <row r="25" spans="1:11" x14ac:dyDescent="0.2">
      <c r="A25" t="s">
        <v>18</v>
      </c>
      <c r="B25" t="s">
        <v>118</v>
      </c>
      <c r="C25" t="s">
        <v>55</v>
      </c>
      <c r="D25" t="s">
        <v>14</v>
      </c>
      <c r="E25" s="5" t="s">
        <v>19</v>
      </c>
      <c r="F25">
        <v>1</v>
      </c>
      <c r="G25">
        <v>1</v>
      </c>
      <c r="H25">
        <v>1</v>
      </c>
      <c r="I25" s="1">
        <v>13.24</v>
      </c>
      <c r="J25" s="7">
        <v>13.24</v>
      </c>
      <c r="K25" t="s">
        <v>15</v>
      </c>
    </row>
    <row r="26" spans="1:11" x14ac:dyDescent="0.2">
      <c r="A26" s="8" t="s">
        <v>112</v>
      </c>
      <c r="B26" s="9"/>
      <c r="C26" s="9"/>
      <c r="D26" s="9"/>
      <c r="E26" s="10"/>
      <c r="F26" s="9"/>
      <c r="G26" s="9"/>
      <c r="H26" s="9"/>
      <c r="I26" s="11"/>
      <c r="J26" s="12"/>
      <c r="K26" s="9"/>
    </row>
    <row r="27" spans="1:11" x14ac:dyDescent="0.2">
      <c r="A27" t="s">
        <v>67</v>
      </c>
      <c r="B27" t="s">
        <v>69</v>
      </c>
      <c r="C27" s="16" t="s">
        <v>125</v>
      </c>
      <c r="D27" t="s">
        <v>125</v>
      </c>
      <c r="E27" s="5" t="s">
        <v>127</v>
      </c>
      <c r="F27" s="16">
        <v>1</v>
      </c>
      <c r="G27" s="16">
        <v>2</v>
      </c>
      <c r="H27" s="16">
        <v>2</v>
      </c>
      <c r="I27" s="1">
        <v>399.99</v>
      </c>
      <c r="J27" s="7">
        <f>H27*I27</f>
        <v>799.98</v>
      </c>
      <c r="K27" t="s">
        <v>104</v>
      </c>
    </row>
    <row r="28" spans="1:11" x14ac:dyDescent="0.2">
      <c r="A28" t="s">
        <v>68</v>
      </c>
      <c r="B28" t="s">
        <v>70</v>
      </c>
      <c r="C28" t="s">
        <v>125</v>
      </c>
      <c r="D28" t="s">
        <v>124</v>
      </c>
      <c r="E28" s="5" t="s">
        <v>126</v>
      </c>
      <c r="F28">
        <v>1</v>
      </c>
      <c r="G28">
        <v>2</v>
      </c>
      <c r="H28">
        <v>2</v>
      </c>
      <c r="I28" s="1">
        <v>54.99</v>
      </c>
      <c r="J28" s="7">
        <f>H28*I28</f>
        <v>109.98</v>
      </c>
      <c r="K28" t="s">
        <v>104</v>
      </c>
    </row>
    <row r="29" spans="1:11" x14ac:dyDescent="0.2">
      <c r="A29" t="s">
        <v>66</v>
      </c>
      <c r="B29" t="s">
        <v>95</v>
      </c>
      <c r="C29" t="s">
        <v>53</v>
      </c>
      <c r="D29" t="s">
        <v>97</v>
      </c>
      <c r="E29" s="5" t="s">
        <v>116</v>
      </c>
      <c r="F29">
        <v>1</v>
      </c>
      <c r="G29">
        <v>3</v>
      </c>
      <c r="H29">
        <v>3</v>
      </c>
      <c r="I29" s="1">
        <v>259.95</v>
      </c>
      <c r="J29" s="7">
        <f>H29*I29</f>
        <v>779.84999999999991</v>
      </c>
      <c r="K29" t="s">
        <v>104</v>
      </c>
    </row>
    <row r="30" spans="1:11" x14ac:dyDescent="0.2">
      <c r="A30" t="s">
        <v>121</v>
      </c>
      <c r="B30" t="s">
        <v>96</v>
      </c>
      <c r="C30" t="s">
        <v>53</v>
      </c>
      <c r="D30" t="s">
        <v>97</v>
      </c>
      <c r="E30" s="5" t="s">
        <v>122</v>
      </c>
      <c r="F30">
        <v>1</v>
      </c>
      <c r="G30">
        <v>3</v>
      </c>
      <c r="H30">
        <v>3</v>
      </c>
      <c r="I30" s="1">
        <v>109.95</v>
      </c>
      <c r="J30" s="7">
        <f>I30*H30</f>
        <v>329.85</v>
      </c>
      <c r="K30" t="s">
        <v>104</v>
      </c>
    </row>
    <row r="31" spans="1:11" x14ac:dyDescent="0.2">
      <c r="A31" s="8" t="s">
        <v>115</v>
      </c>
      <c r="B31" s="9"/>
      <c r="C31" s="9"/>
      <c r="D31" s="9"/>
      <c r="E31" s="10"/>
      <c r="F31" s="9"/>
      <c r="G31" s="9"/>
      <c r="H31" s="9"/>
      <c r="I31" s="11"/>
      <c r="J31" s="12"/>
      <c r="K31" s="9"/>
    </row>
    <row r="32" spans="1:11" x14ac:dyDescent="0.2">
      <c r="A32" t="s">
        <v>27</v>
      </c>
      <c r="B32" t="s">
        <v>28</v>
      </c>
      <c r="G32">
        <v>1</v>
      </c>
      <c r="J32" s="7"/>
      <c r="K32" t="s">
        <v>29</v>
      </c>
    </row>
    <row r="33" spans="1:11" x14ac:dyDescent="0.2">
      <c r="A33" t="s">
        <v>30</v>
      </c>
      <c r="B33" t="s">
        <v>31</v>
      </c>
      <c r="G33">
        <v>1</v>
      </c>
      <c r="J33" s="7"/>
      <c r="K33" t="s">
        <v>32</v>
      </c>
    </row>
    <row r="34" spans="1:11" x14ac:dyDescent="0.2">
      <c r="A34" t="s">
        <v>33</v>
      </c>
      <c r="B34" t="s">
        <v>34</v>
      </c>
      <c r="G34">
        <v>1</v>
      </c>
      <c r="J34" s="7"/>
      <c r="K34" t="s">
        <v>12</v>
      </c>
    </row>
    <row r="35" spans="1:11" x14ac:dyDescent="0.2">
      <c r="A35" t="s">
        <v>35</v>
      </c>
      <c r="B35" t="s">
        <v>36</v>
      </c>
      <c r="G35">
        <v>1</v>
      </c>
      <c r="J35" s="7"/>
      <c r="K35" t="s">
        <v>12</v>
      </c>
    </row>
    <row r="36" spans="1:11" x14ac:dyDescent="0.2">
      <c r="A36" t="s">
        <v>37</v>
      </c>
      <c r="B36" t="s">
        <v>38</v>
      </c>
      <c r="G36">
        <v>1</v>
      </c>
      <c r="J36" s="7"/>
      <c r="K36" t="s">
        <v>12</v>
      </c>
    </row>
    <row r="37" spans="1:11" x14ac:dyDescent="0.2">
      <c r="A37" t="s">
        <v>39</v>
      </c>
      <c r="B37" t="s">
        <v>40</v>
      </c>
      <c r="G37">
        <v>1</v>
      </c>
      <c r="J37" s="7"/>
      <c r="K37" t="s">
        <v>41</v>
      </c>
    </row>
    <row r="38" spans="1:11" x14ac:dyDescent="0.2">
      <c r="A38" t="s">
        <v>42</v>
      </c>
      <c r="B38" t="s">
        <v>43</v>
      </c>
      <c r="G38">
        <v>1</v>
      </c>
      <c r="J38" s="7"/>
      <c r="K38" t="s">
        <v>44</v>
      </c>
    </row>
    <row r="39" spans="1:11" x14ac:dyDescent="0.2">
      <c r="A39" t="s">
        <v>45</v>
      </c>
      <c r="B39" t="s">
        <v>46</v>
      </c>
      <c r="G39">
        <v>1</v>
      </c>
      <c r="J39" s="7"/>
      <c r="K39" t="s">
        <v>47</v>
      </c>
    </row>
    <row r="40" spans="1:11" x14ac:dyDescent="0.2">
      <c r="A40" t="s">
        <v>48</v>
      </c>
      <c r="B40" t="s">
        <v>49</v>
      </c>
      <c r="G40">
        <v>1</v>
      </c>
      <c r="J40" s="7"/>
      <c r="K40" t="s">
        <v>21</v>
      </c>
    </row>
    <row r="41" spans="1:11" x14ac:dyDescent="0.2">
      <c r="A41" t="s">
        <v>50</v>
      </c>
      <c r="B41" t="s">
        <v>51</v>
      </c>
      <c r="G41">
        <v>1</v>
      </c>
      <c r="J41" s="7"/>
      <c r="K41" t="s">
        <v>21</v>
      </c>
    </row>
    <row r="42" spans="1:11" x14ac:dyDescent="0.2">
      <c r="A42" s="15"/>
      <c r="B42" s="15"/>
      <c r="C42" s="15"/>
      <c r="D42" s="15"/>
      <c r="E42" s="15"/>
      <c r="F42" s="15"/>
      <c r="G42" s="15"/>
      <c r="H42" s="15"/>
      <c r="I42" s="13" t="s">
        <v>0</v>
      </c>
      <c r="J42" s="14">
        <f>SUM(J6:J41)</f>
        <v>130390.8</v>
      </c>
      <c r="K42" s="15"/>
    </row>
  </sheetData>
  <autoFilter ref="A4:K4" xr:uid="{00000000-0009-0000-0000-000000000000}">
    <sortState xmlns:xlrd2="http://schemas.microsoft.com/office/spreadsheetml/2017/richdata2" ref="A5:K5">
      <sortCondition ref="I4:I5"/>
    </sortState>
  </autoFilter>
  <hyperlinks>
    <hyperlink ref="E25" r:id="rId1" xr:uid="{02A1447F-14E3-2B4D-880B-2FA468205AEF}"/>
    <hyperlink ref="E15" r:id="rId2" xr:uid="{469FFF1E-34FA-E04E-8B47-70D39F820D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Hoffman</cp:lastModifiedBy>
  <dcterms:created xsi:type="dcterms:W3CDTF">2019-03-14T00:29:24Z</dcterms:created>
  <dcterms:modified xsi:type="dcterms:W3CDTF">2025-10-24T16:25:37Z</dcterms:modified>
</cp:coreProperties>
</file>